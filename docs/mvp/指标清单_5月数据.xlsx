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清单" sheetId="1" state="visible" r:id="rId1"/>
    <sheet xmlns:r="http://schemas.openxmlformats.org/officeDocument/2006/relationships" name="按分类统计" sheetId="2" state="visible" r:id="rId2"/>
  </sheets>
  <definedNames>
    <definedName name="_xlnm._FilterDatabase" localSheetId="0" hidden="1">'指标清单'!$A$1:$I$48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E3A5F"/>
      <sz val="10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EDE9FE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2" fillId="6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8" customWidth="1" min="4" max="4"/>
    <col width="52" customWidth="1" min="5" max="5"/>
    <col width="8" customWidth="1" min="6" max="6"/>
    <col width="28" customWidth="1" min="7" max="7"/>
    <col width="12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指标ID</t>
        </is>
      </c>
      <c r="C1" s="1" t="inlineStr">
        <is>
          <t>指标名称</t>
        </is>
      </c>
      <c r="D1" s="1" t="inlineStr">
        <is>
          <t>分类</t>
        </is>
      </c>
      <c r="E1" s="1" t="inlineStr">
        <is>
          <t>定义/公式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刷新频率</t>
        </is>
      </c>
      <c r="I1" s="1" t="inlineStr">
        <is>
          <t>5月数据值</t>
        </is>
      </c>
    </row>
    <row r="2">
      <c r="A2" s="2" t="inlineStr">
        <is>
          <t>一、保费指标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 ht="24" customHeight="1">
      <c r="A3" s="5" t="n">
        <v>1</v>
      </c>
      <c r="B3" s="6" t="inlineStr">
        <is>
          <t>monthly_biaobao_amount</t>
        </is>
      </c>
      <c r="C3" s="6" t="inlineStr">
        <is>
          <t>当月标保达成额</t>
        </is>
      </c>
      <c r="D3" s="5" t="inlineStr">
        <is>
          <t>保费</t>
        </is>
      </c>
      <c r="E3" s="6" t="inlineStr">
        <is>
          <t>当月承保的标准保费合计</t>
        </is>
      </c>
      <c r="F3" s="5" t="inlineStr">
        <is>
          <t>万元</t>
        </is>
      </c>
      <c r="G3" s="6" t="inlineStr">
        <is>
          <t>核心承保系统.standard_premium_detail</t>
        </is>
      </c>
      <c r="H3" s="5" t="inlineStr">
        <is>
          <t>T+1</t>
        </is>
      </c>
      <c r="I3" s="7" t="n">
        <v>12444</v>
      </c>
    </row>
    <row r="4" ht="24" customHeight="1">
      <c r="A4" s="8" t="n">
        <v>2</v>
      </c>
      <c r="B4" s="9" t="inlineStr">
        <is>
          <t>monthly_biaobao_rate</t>
        </is>
      </c>
      <c r="C4" s="9" t="inlineStr">
        <is>
          <t>当月标保达成率</t>
        </is>
      </c>
      <c r="D4" s="8" t="inlineStr">
        <is>
          <t>保费</t>
        </is>
      </c>
      <c r="E4" s="9" t="inlineStr">
        <is>
          <t>当月标保达成额 / 当月标保目标 × 100%</t>
        </is>
      </c>
      <c r="F4" s="8" t="inlineStr">
        <is>
          <t>%</t>
        </is>
      </c>
      <c r="G4" s="9" t="inlineStr">
        <is>
          <t>计算指标</t>
        </is>
      </c>
      <c r="H4" s="8" t="inlineStr">
        <is>
          <t>T+1</t>
        </is>
      </c>
      <c r="I4" s="10" t="n">
        <v>61.8</v>
      </c>
    </row>
    <row r="5" ht="24" customHeight="1">
      <c r="A5" s="5" t="n">
        <v>3</v>
      </c>
      <c r="B5" s="6" t="inlineStr">
        <is>
          <t>monthly_biaobao_yoy</t>
        </is>
      </c>
      <c r="C5" s="6" t="inlineStr">
        <is>
          <t>当月标保同比增长率</t>
        </is>
      </c>
      <c r="D5" s="5" t="inlineStr">
        <is>
          <t>保费</t>
        </is>
      </c>
      <c r="E5" s="6" t="inlineStr">
        <is>
          <t>(当月标保 - 去年同月标保) / 去年同月标保 × 100%</t>
        </is>
      </c>
      <c r="F5" s="5" t="inlineStr">
        <is>
          <t>%</t>
        </is>
      </c>
      <c r="G5" s="6" t="inlineStr">
        <is>
          <t>计算指标</t>
        </is>
      </c>
      <c r="H5" s="5" t="inlineStr">
        <is>
          <t>T+1</t>
        </is>
      </c>
      <c r="I5" s="11" t="n">
        <v>-11.6</v>
      </c>
    </row>
    <row r="6" ht="24" customHeight="1">
      <c r="A6" s="8" t="n">
        <v>4</v>
      </c>
      <c r="B6" s="9" t="inlineStr">
        <is>
          <t>yearly_biaobao_amount</t>
        </is>
      </c>
      <c r="C6" s="9" t="inlineStr">
        <is>
          <t>全年标保累计达成额</t>
        </is>
      </c>
      <c r="D6" s="8" t="inlineStr">
        <is>
          <t>保费</t>
        </is>
      </c>
      <c r="E6" s="9" t="inlineStr">
        <is>
          <t>年初至当月的累计标保保费</t>
        </is>
      </c>
      <c r="F6" s="8" t="inlineStr">
        <is>
          <t>万元</t>
        </is>
      </c>
      <c r="G6" s="9" t="inlineStr">
        <is>
          <t>核心承保系统.standard_premium_detail</t>
        </is>
      </c>
      <c r="H6" s="8" t="inlineStr">
        <is>
          <t>T+1</t>
        </is>
      </c>
      <c r="I6" s="12" t="n">
        <v>100538</v>
      </c>
    </row>
    <row r="7" ht="24" customHeight="1">
      <c r="A7" s="5" t="n">
        <v>5</v>
      </c>
      <c r="B7" s="6" t="inlineStr">
        <is>
          <t>yearly_biaobao_progress</t>
        </is>
      </c>
      <c r="C7" s="6" t="inlineStr">
        <is>
          <t>全年标保进度</t>
        </is>
      </c>
      <c r="D7" s="5" t="inlineStr">
        <is>
          <t>保费</t>
        </is>
      </c>
      <c r="E7" s="6" t="inlineStr">
        <is>
          <t>全年标保累计 / 年度标保目标 × 100%</t>
        </is>
      </c>
      <c r="F7" s="5" t="inlineStr">
        <is>
          <t>%</t>
        </is>
      </c>
      <c r="G7" s="6" t="inlineStr">
        <is>
          <t>计算指标</t>
        </is>
      </c>
      <c r="H7" s="5" t="inlineStr">
        <is>
          <t>T+1</t>
        </is>
      </c>
      <c r="I7" s="11" t="n">
        <v>53.8</v>
      </c>
    </row>
    <row r="8" ht="24" customHeight="1">
      <c r="A8" s="8" t="n">
        <v>6</v>
      </c>
      <c r="B8" s="9" t="inlineStr">
        <is>
          <t>yearly_biaobao_yoy</t>
        </is>
      </c>
      <c r="C8" s="9" t="inlineStr">
        <is>
          <t>全年标保同比增长率</t>
        </is>
      </c>
      <c r="D8" s="8" t="inlineStr">
        <is>
          <t>保费</t>
        </is>
      </c>
      <c r="E8" s="9" t="inlineStr">
        <is>
          <t>(全年累计标保 - 去年同期累计标保) / 去年同期累计标保 × 100%</t>
        </is>
      </c>
      <c r="F8" s="8" t="inlineStr">
        <is>
          <t>%</t>
        </is>
      </c>
      <c r="G8" s="9" t="inlineStr">
        <is>
          <t>计算指标</t>
        </is>
      </c>
      <c r="H8" s="8" t="inlineStr">
        <is>
          <t>T+1</t>
        </is>
      </c>
      <c r="I8" s="10" t="n">
        <v>20.6</v>
      </c>
    </row>
    <row r="10">
      <c r="A10" s="13" t="inlineStr">
        <is>
          <t>二、价值指标</t>
        </is>
      </c>
      <c r="B10" s="3" t="n"/>
      <c r="C10" s="3" t="n"/>
      <c r="D10" s="3" t="n"/>
      <c r="E10" s="3" t="n"/>
      <c r="F10" s="3" t="n"/>
      <c r="G10" s="3" t="n"/>
      <c r="H10" s="3" t="n"/>
      <c r="I10" s="4" t="n"/>
    </row>
    <row r="11" ht="24" customHeight="1">
      <c r="A11" s="5" t="n">
        <v>7</v>
      </c>
      <c r="B11" s="6" t="inlineStr">
        <is>
          <t>monthly_value_amount</t>
        </is>
      </c>
      <c r="C11" s="6" t="inlineStr">
        <is>
          <t>当月价值达成额</t>
        </is>
      </c>
      <c r="D11" s="5" t="inlineStr">
        <is>
          <t>价值</t>
        </is>
      </c>
      <c r="E11" s="6" t="inlineStr">
        <is>
          <t>当月新业务价值合计</t>
        </is>
      </c>
      <c r="F11" s="5" t="inlineStr">
        <is>
          <t>万元</t>
        </is>
      </c>
      <c r="G11" s="6" t="inlineStr">
        <is>
          <t>精算系统.new_business_value</t>
        </is>
      </c>
      <c r="H11" s="5" t="inlineStr">
        <is>
          <t>T+1</t>
        </is>
      </c>
      <c r="I11" s="7" t="n">
        <v>7045</v>
      </c>
    </row>
    <row r="12" ht="24" customHeight="1">
      <c r="A12" s="8" t="n">
        <v>8</v>
      </c>
      <c r="B12" s="9" t="inlineStr">
        <is>
          <t>monthly_value_rate</t>
        </is>
      </c>
      <c r="C12" s="9" t="inlineStr">
        <is>
          <t>当月价值达成率</t>
        </is>
      </c>
      <c r="D12" s="8" t="inlineStr">
        <is>
          <t>价值</t>
        </is>
      </c>
      <c r="E12" s="9" t="inlineStr">
        <is>
          <t>当月价值达成额 / 当月价值目标 × 100%</t>
        </is>
      </c>
      <c r="F12" s="8" t="inlineStr">
        <is>
          <t>%</t>
        </is>
      </c>
      <c r="G12" s="9" t="inlineStr">
        <is>
          <t>计算指标</t>
        </is>
      </c>
      <c r="H12" s="8" t="inlineStr">
        <is>
          <t>T+1</t>
        </is>
      </c>
      <c r="I12" s="10" t="n">
        <v>74.09999999999999</v>
      </c>
    </row>
    <row r="13" ht="24" customHeight="1">
      <c r="A13" s="5" t="n">
        <v>9</v>
      </c>
      <c r="B13" s="6" t="inlineStr">
        <is>
          <t>monthly_value_yoy</t>
        </is>
      </c>
      <c r="C13" s="6" t="inlineStr">
        <is>
          <t>当月价值同比增长率</t>
        </is>
      </c>
      <c r="D13" s="5" t="inlineStr">
        <is>
          <t>价值</t>
        </is>
      </c>
      <c r="E13" s="6" t="inlineStr">
        <is>
          <t>(当月价值 - 去年同月价值) / 去年同月价值 × 100%</t>
        </is>
      </c>
      <c r="F13" s="5" t="inlineStr">
        <is>
          <t>%</t>
        </is>
      </c>
      <c r="G13" s="6" t="inlineStr">
        <is>
          <t>计算指标</t>
        </is>
      </c>
      <c r="H13" s="5" t="inlineStr">
        <is>
          <t>T+1</t>
        </is>
      </c>
      <c r="I13" s="11" t="n">
        <v>9.800000000000001</v>
      </c>
    </row>
    <row r="14" ht="24" customHeight="1">
      <c r="A14" s="8" t="n">
        <v>10</v>
      </c>
      <c r="B14" s="9" t="inlineStr">
        <is>
          <t>yearly_value_progress</t>
        </is>
      </c>
      <c r="C14" s="9" t="inlineStr">
        <is>
          <t>全年价值进度</t>
        </is>
      </c>
      <c r="D14" s="8" t="inlineStr">
        <is>
          <t>价值</t>
        </is>
      </c>
      <c r="E14" s="9" t="inlineStr">
        <is>
          <t>全年累计价值 / 年度价值目标 × 100%</t>
        </is>
      </c>
      <c r="F14" s="8" t="inlineStr">
        <is>
          <t>%</t>
        </is>
      </c>
      <c r="G14" s="9" t="inlineStr">
        <is>
          <t>计算指标</t>
        </is>
      </c>
      <c r="H14" s="8" t="inlineStr">
        <is>
          <t>T+1</t>
        </is>
      </c>
      <c r="I14" s="10" t="n">
        <v>54.2</v>
      </c>
    </row>
    <row r="15" ht="24" customHeight="1">
      <c r="A15" s="5" t="n">
        <v>11</v>
      </c>
      <c r="B15" s="6" t="inlineStr">
        <is>
          <t>yearly_value_yoy</t>
        </is>
      </c>
      <c r="C15" s="6" t="inlineStr">
        <is>
          <t>全年价值同比增长率</t>
        </is>
      </c>
      <c r="D15" s="5" t="inlineStr">
        <is>
          <t>价值</t>
        </is>
      </c>
      <c r="E15" s="6" t="inlineStr">
        <is>
          <t>(全年累计价值 - 去年同期累计价值) / 去年同期累计价值 × 100%</t>
        </is>
      </c>
      <c r="F15" s="5" t="inlineStr">
        <is>
          <t>%</t>
        </is>
      </c>
      <c r="G15" s="6" t="inlineStr">
        <is>
          <t>计算指标</t>
        </is>
      </c>
      <c r="H15" s="5" t="inlineStr">
        <is>
          <t>T+1</t>
        </is>
      </c>
      <c r="I15" s="11" t="n">
        <v>7.2</v>
      </c>
    </row>
    <row r="17">
      <c r="A17" s="14" t="inlineStr">
        <is>
          <t>三、人力指标</t>
        </is>
      </c>
      <c r="B17" s="3" t="n"/>
      <c r="C17" s="3" t="n"/>
      <c r="D17" s="3" t="n"/>
      <c r="E17" s="3" t="n"/>
      <c r="F17" s="3" t="n"/>
      <c r="G17" s="3" t="n"/>
      <c r="H17" s="3" t="n"/>
      <c r="I17" s="4" t="n"/>
    </row>
    <row r="18" ht="24" customHeight="1">
      <c r="A18" s="8" t="n">
        <v>12</v>
      </c>
      <c r="B18" s="9" t="inlineStr">
        <is>
          <t>active_manpower</t>
        </is>
      </c>
      <c r="C18" s="9" t="inlineStr">
        <is>
          <t>活动人力数</t>
        </is>
      </c>
      <c r="D18" s="8" t="inlineStr">
        <is>
          <t>人力</t>
        </is>
      </c>
      <c r="E18" s="9" t="inlineStr">
        <is>
          <t>当月有出单活动的代理人数量</t>
        </is>
      </c>
      <c r="F18" s="8" t="inlineStr">
        <is>
          <t>人</t>
        </is>
      </c>
      <c r="G18" s="9" t="inlineStr">
        <is>
          <t>人力系统.agent_activity</t>
        </is>
      </c>
      <c r="H18" s="8" t="inlineStr">
        <is>
          <t>T+1</t>
        </is>
      </c>
      <c r="I18" s="12" t="n">
        <v>5531</v>
      </c>
    </row>
    <row r="19" ht="24" customHeight="1">
      <c r="A19" s="5" t="n">
        <v>13</v>
      </c>
      <c r="B19" s="6" t="inlineStr">
        <is>
          <t>active_manpower_rate</t>
        </is>
      </c>
      <c r="C19" s="6" t="inlineStr">
        <is>
          <t>活动人力达成率</t>
        </is>
      </c>
      <c r="D19" s="5" t="inlineStr">
        <is>
          <t>人力</t>
        </is>
      </c>
      <c r="E19" s="6" t="inlineStr">
        <is>
          <t>活动人力 / 活动人力目标 × 100%</t>
        </is>
      </c>
      <c r="F19" s="5" t="inlineStr">
        <is>
          <t>%</t>
        </is>
      </c>
      <c r="G19" s="6" t="inlineStr">
        <is>
          <t>计算指标</t>
        </is>
      </c>
      <c r="H19" s="5" t="inlineStr">
        <is>
          <t>T+1</t>
        </is>
      </c>
      <c r="I19" s="11" t="n">
        <v>77.90000000000001</v>
      </c>
    </row>
    <row r="20" ht="24" customHeight="1">
      <c r="A20" s="8" t="n">
        <v>14</v>
      </c>
      <c r="B20" s="9" t="inlineStr">
        <is>
          <t>active_manpower_yoy</t>
        </is>
      </c>
      <c r="C20" s="9" t="inlineStr">
        <is>
          <t>活动人力同比增长率</t>
        </is>
      </c>
      <c r="D20" s="8" t="inlineStr">
        <is>
          <t>人力</t>
        </is>
      </c>
      <c r="E20" s="9" t="inlineStr">
        <is>
          <t>(当月活动人力 - 去年同月活动人力) / 去年同月活动人力 × 100%</t>
        </is>
      </c>
      <c r="F20" s="8" t="inlineStr">
        <is>
          <t>%</t>
        </is>
      </c>
      <c r="G20" s="9" t="inlineStr">
        <is>
          <t>计算指标</t>
        </is>
      </c>
      <c r="H20" s="8" t="inlineStr">
        <is>
          <t>T+1</t>
        </is>
      </c>
      <c r="I20" s="10" t="n">
        <v>-9.4</v>
      </c>
    </row>
    <row r="21" ht="24" customHeight="1">
      <c r="A21" s="5" t="n">
        <v>15</v>
      </c>
      <c r="B21" s="6" t="inlineStr">
        <is>
          <t>bachelor_plus_ratio</t>
        </is>
      </c>
      <c r="C21" s="6" t="inlineStr">
        <is>
          <t>本科及以上占比</t>
        </is>
      </c>
      <c r="D21" s="5" t="inlineStr">
        <is>
          <t>人力</t>
        </is>
      </c>
      <c r="E21" s="6" t="inlineStr">
        <is>
          <t>新增人员中本科及以上学历占比</t>
        </is>
      </c>
      <c r="F21" s="5" t="inlineStr">
        <is>
          <t>%</t>
        </is>
      </c>
      <c r="G21" s="6" t="inlineStr">
        <is>
          <t>人力系统.new_agent_education</t>
        </is>
      </c>
      <c r="H21" s="5" t="inlineStr">
        <is>
          <t>T+1</t>
        </is>
      </c>
      <c r="I21" s="11" t="n">
        <v>25.4</v>
      </c>
    </row>
    <row r="22" ht="24" customHeight="1">
      <c r="A22" s="8" t="n">
        <v>16</v>
      </c>
      <c r="B22" s="9" t="inlineStr">
        <is>
          <t>bachelor_target_gap</t>
        </is>
      </c>
      <c r="C22" s="9" t="inlineStr">
        <is>
          <t>本科占比目标差额</t>
        </is>
      </c>
      <c r="D22" s="8" t="inlineStr">
        <is>
          <t>人力</t>
        </is>
      </c>
      <c r="E22" s="9" t="inlineStr">
        <is>
          <t>实际本科占比 - 本科占比目标</t>
        </is>
      </c>
      <c r="F22" s="8" t="inlineStr">
        <is>
          <t>pp</t>
        </is>
      </c>
      <c r="G22" s="9" t="inlineStr">
        <is>
          <t>计算指标</t>
        </is>
      </c>
      <c r="H22" s="8" t="inlineStr">
        <is>
          <t>T+1</t>
        </is>
      </c>
      <c r="I22" s="10" t="n">
        <v>5.4</v>
      </c>
    </row>
    <row r="23" ht="24" customHeight="1">
      <c r="A23" s="5" t="n">
        <v>17</v>
      </c>
      <c r="B23" s="6" t="inlineStr">
        <is>
          <t>college_plus_ratio</t>
        </is>
      </c>
      <c r="C23" s="6" t="inlineStr">
        <is>
          <t>大专及以上占比</t>
        </is>
      </c>
      <c r="D23" s="5" t="inlineStr">
        <is>
          <t>人力</t>
        </is>
      </c>
      <c r="E23" s="6" t="inlineStr">
        <is>
          <t>新增人员中大专及以上学历占比</t>
        </is>
      </c>
      <c r="F23" s="5" t="inlineStr">
        <is>
          <t>%</t>
        </is>
      </c>
      <c r="G23" s="6" t="inlineStr">
        <is>
          <t>人力系统.new_agent_education</t>
        </is>
      </c>
      <c r="H23" s="5" t="inlineStr">
        <is>
          <t>T+1</t>
        </is>
      </c>
      <c r="I23" s="11" t="n">
        <v>47.5</v>
      </c>
    </row>
    <row r="24" ht="24" customHeight="1">
      <c r="A24" s="8" t="n">
        <v>18</v>
      </c>
      <c r="B24" s="9" t="inlineStr">
        <is>
          <t>first_sunshine</t>
        </is>
      </c>
      <c r="C24" s="9" t="inlineStr">
        <is>
          <t>首阳人数</t>
        </is>
      </c>
      <c r="D24" s="8" t="inlineStr">
        <is>
          <t>人力</t>
        </is>
      </c>
      <c r="E24" s="9" t="inlineStr">
        <is>
          <t>新人中首次达到阳光标准的人数</t>
        </is>
      </c>
      <c r="F24" s="8" t="inlineStr">
        <is>
          <t>人</t>
        </is>
      </c>
      <c r="G24" s="9" t="inlineStr">
        <is>
          <t>人力系统.first_sunshine</t>
        </is>
      </c>
      <c r="H24" s="8" t="inlineStr">
        <is>
          <t>T+1</t>
        </is>
      </c>
      <c r="I24" s="12" t="n">
        <v>425</v>
      </c>
    </row>
    <row r="25" ht="24" customHeight="1">
      <c r="A25" s="5" t="n">
        <v>19</v>
      </c>
      <c r="B25" s="6" t="inlineStr">
        <is>
          <t>first_sunshine_rate</t>
        </is>
      </c>
      <c r="C25" s="6" t="inlineStr">
        <is>
          <t>首阳率</t>
        </is>
      </c>
      <c r="D25" s="5" t="inlineStr">
        <is>
          <t>人力</t>
        </is>
      </c>
      <c r="E25" s="6" t="inlineStr">
        <is>
          <t>首阳人数 / 新增人数 × 100%</t>
        </is>
      </c>
      <c r="F25" s="5" t="inlineStr">
        <is>
          <t>%</t>
        </is>
      </c>
      <c r="G25" s="6" t="inlineStr">
        <is>
          <t>计算指标</t>
        </is>
      </c>
      <c r="H25" s="5" t="inlineStr">
        <is>
          <t>T+1</t>
        </is>
      </c>
      <c r="I25" s="11" t="n">
        <v>45.6</v>
      </c>
    </row>
    <row r="26" ht="24" customHeight="1">
      <c r="A26" s="8" t="n">
        <v>20</v>
      </c>
      <c r="B26" s="9" t="inlineStr">
        <is>
          <t>new_recruit</t>
        </is>
      </c>
      <c r="C26" s="9" t="inlineStr">
        <is>
          <t>新增人数</t>
        </is>
      </c>
      <c r="D26" s="8" t="inlineStr">
        <is>
          <t>人力</t>
        </is>
      </c>
      <c r="E26" s="9" t="inlineStr">
        <is>
          <t>当月新上岗代理人数量</t>
        </is>
      </c>
      <c r="F26" s="8" t="inlineStr">
        <is>
          <t>人</t>
        </is>
      </c>
      <c r="G26" s="9" t="inlineStr">
        <is>
          <t>人力系统.new_agent_onboard</t>
        </is>
      </c>
      <c r="H26" s="8" t="inlineStr">
        <is>
          <t>T+1</t>
        </is>
      </c>
      <c r="I26" s="12" t="n">
        <v>739</v>
      </c>
    </row>
    <row r="27" ht="24" customHeight="1">
      <c r="A27" s="5" t="n">
        <v>21</v>
      </c>
      <c r="B27" s="6" t="inlineStr">
        <is>
          <t>new_recruit_rate</t>
        </is>
      </c>
      <c r="C27" s="6" t="inlineStr">
        <is>
          <t>新增达成率</t>
        </is>
      </c>
      <c r="D27" s="5" t="inlineStr">
        <is>
          <t>人力</t>
        </is>
      </c>
      <c r="E27" s="6" t="inlineStr">
        <is>
          <t>新增人数 / 新增目标 × 100%</t>
        </is>
      </c>
      <c r="F27" s="5" t="inlineStr">
        <is>
          <t>%</t>
        </is>
      </c>
      <c r="G27" s="6" t="inlineStr">
        <is>
          <t>计算指标</t>
        </is>
      </c>
      <c r="H27" s="5" t="inlineStr">
        <is>
          <t>T+1</t>
        </is>
      </c>
      <c r="I27" s="11" t="n">
        <v>62.6</v>
      </c>
    </row>
    <row r="28" ht="24" customHeight="1">
      <c r="A28" s="8" t="n">
        <v>22</v>
      </c>
      <c r="B28" s="9" t="inlineStr">
        <is>
          <t>new_recruit_yoy</t>
        </is>
      </c>
      <c r="C28" s="9" t="inlineStr">
        <is>
          <t>新增同比增长率</t>
        </is>
      </c>
      <c r="D28" s="8" t="inlineStr">
        <is>
          <t>人力</t>
        </is>
      </c>
      <c r="E28" s="9" t="inlineStr">
        <is>
          <t>(当月新增 - 去年同月新增) / 去年同月新增 × 100%</t>
        </is>
      </c>
      <c r="F28" s="8" t="inlineStr">
        <is>
          <t>%</t>
        </is>
      </c>
      <c r="G28" s="9" t="inlineStr">
        <is>
          <t>计算指标</t>
        </is>
      </c>
      <c r="H28" s="8" t="inlineStr">
        <is>
          <t>T+1</t>
        </is>
      </c>
      <c r="I28" s="10" t="n">
        <v>-7.4</v>
      </c>
    </row>
    <row r="29" ht="24" customHeight="1">
      <c r="A29" s="5" t="n">
        <v>23</v>
      </c>
      <c r="B29" s="6" t="inlineStr">
        <is>
          <t>standard_group_count</t>
        </is>
      </c>
      <c r="C29" s="6" t="inlineStr">
        <is>
          <t>标准组达成人数</t>
        </is>
      </c>
      <c r="D29" s="5" t="inlineStr">
        <is>
          <t>人力</t>
        </is>
      </c>
      <c r="E29" s="6" t="inlineStr">
        <is>
          <t>达成标准组条件的主管人数</t>
        </is>
      </c>
      <c r="F29" s="5" t="inlineStr">
        <is>
          <t>人</t>
        </is>
      </c>
      <c r="G29" s="6" t="inlineStr">
        <is>
          <t>人力系统.standard_group</t>
        </is>
      </c>
      <c r="H29" s="5" t="inlineStr">
        <is>
          <t>T+1</t>
        </is>
      </c>
      <c r="I29" s="7" t="n">
        <v>1175</v>
      </c>
    </row>
    <row r="30" ht="24" customHeight="1">
      <c r="A30" s="8" t="n">
        <v>24</v>
      </c>
      <c r="B30" s="9" t="inlineStr">
        <is>
          <t>standard_group_ratio</t>
        </is>
      </c>
      <c r="C30" s="9" t="inlineStr">
        <is>
          <t>标准组占比</t>
        </is>
      </c>
      <c r="D30" s="8" t="inlineStr">
        <is>
          <t>人力</t>
        </is>
      </c>
      <c r="E30" s="9" t="inlineStr">
        <is>
          <t>标准组达成人数 / 在职主管 × 100%</t>
        </is>
      </c>
      <c r="F30" s="8" t="inlineStr">
        <is>
          <t>%</t>
        </is>
      </c>
      <c r="G30" s="9" t="inlineStr">
        <is>
          <t>计算指标</t>
        </is>
      </c>
      <c r="H30" s="8" t="inlineStr">
        <is>
          <t>T+1</t>
        </is>
      </c>
      <c r="I30" s="10" t="n">
        <v>33.9</v>
      </c>
    </row>
    <row r="31" ht="24" customHeight="1">
      <c r="A31" s="5" t="n">
        <v>25</v>
      </c>
      <c r="B31" s="6" t="inlineStr">
        <is>
          <t>standard_group_yoy</t>
        </is>
      </c>
      <c r="C31" s="6" t="inlineStr">
        <is>
          <t>标准组同比增长率</t>
        </is>
      </c>
      <c r="D31" s="5" t="inlineStr">
        <is>
          <t>人力</t>
        </is>
      </c>
      <c r="E31" s="6" t="inlineStr">
        <is>
          <t>(当月标准组达成 - 去年同月标准组达成) / 去年同月标准组达成 × 100%</t>
        </is>
      </c>
      <c r="F31" s="5" t="inlineStr">
        <is>
          <t>%</t>
        </is>
      </c>
      <c r="G31" s="6" t="inlineStr">
        <is>
          <t>计算指标</t>
        </is>
      </c>
      <c r="H31" s="5" t="inlineStr">
        <is>
          <t>T+1</t>
        </is>
      </c>
      <c r="I31" s="11" t="n">
        <v>-4.3</v>
      </c>
    </row>
    <row r="32" ht="24" customHeight="1">
      <c r="A32" s="8" t="n">
        <v>26</v>
      </c>
      <c r="B32" s="9" t="inlineStr">
        <is>
          <t>sunshine_manpower</t>
        </is>
      </c>
      <c r="C32" s="9" t="inlineStr">
        <is>
          <t>阳光人力数</t>
        </is>
      </c>
      <c r="D32" s="8" t="inlineStr">
        <is>
          <t>人力</t>
        </is>
      </c>
      <c r="E32" s="9" t="inlineStr">
        <is>
          <t>达到阳光标准的活动人力数量</t>
        </is>
      </c>
      <c r="F32" s="8" t="inlineStr">
        <is>
          <t>人</t>
        </is>
      </c>
      <c r="G32" s="9" t="inlineStr">
        <is>
          <t>人力系统.sunshine_agent</t>
        </is>
      </c>
      <c r="H32" s="8" t="inlineStr">
        <is>
          <t>T+1</t>
        </is>
      </c>
      <c r="I32" s="12" t="n">
        <v>4772</v>
      </c>
    </row>
    <row r="33" ht="24" customHeight="1">
      <c r="A33" s="5" t="n">
        <v>27</v>
      </c>
      <c r="B33" s="6" t="inlineStr">
        <is>
          <t>sunshine_manpower_rate</t>
        </is>
      </c>
      <c r="C33" s="6" t="inlineStr">
        <is>
          <t>阳光人力达成率</t>
        </is>
      </c>
      <c r="D33" s="5" t="inlineStr">
        <is>
          <t>人力</t>
        </is>
      </c>
      <c r="E33" s="6" t="inlineStr">
        <is>
          <t>阳光人力 / 阳光人力目标 × 100%</t>
        </is>
      </c>
      <c r="F33" s="5" t="inlineStr">
        <is>
          <t>%</t>
        </is>
      </c>
      <c r="G33" s="6" t="inlineStr">
        <is>
          <t>计算指标</t>
        </is>
      </c>
      <c r="H33" s="5" t="inlineStr">
        <is>
          <t>T+1</t>
        </is>
      </c>
      <c r="I33" s="11" t="n">
        <v>82.2</v>
      </c>
    </row>
    <row r="34" ht="24" customHeight="1">
      <c r="A34" s="8" t="n">
        <v>28</v>
      </c>
      <c r="B34" s="9" t="inlineStr">
        <is>
          <t>sunshine_manpower_yoy</t>
        </is>
      </c>
      <c r="C34" s="9" t="inlineStr">
        <is>
          <t>阳光人力同比增长率</t>
        </is>
      </c>
      <c r="D34" s="8" t="inlineStr">
        <is>
          <t>人力</t>
        </is>
      </c>
      <c r="E34" s="9" t="inlineStr">
        <is>
          <t>(当月阳光人力 - 去年同月阳光人力) / 去年同月阳光人力 × 100%</t>
        </is>
      </c>
      <c r="F34" s="8" t="inlineStr">
        <is>
          <t>%</t>
        </is>
      </c>
      <c r="G34" s="9" t="inlineStr">
        <is>
          <t>计算指标</t>
        </is>
      </c>
      <c r="H34" s="8" t="inlineStr">
        <is>
          <t>T+1</t>
        </is>
      </c>
      <c r="I34" s="10" t="n">
        <v>-2.1</v>
      </c>
    </row>
    <row r="35" ht="24" customHeight="1">
      <c r="A35" s="5" t="n">
        <v>29</v>
      </c>
      <c r="B35" s="6" t="inlineStr">
        <is>
          <t>sunshine_ratio</t>
        </is>
      </c>
      <c r="C35" s="6" t="inlineStr">
        <is>
          <t>阳光占比活动率</t>
        </is>
      </c>
      <c r="D35" s="5" t="inlineStr">
        <is>
          <t>人力</t>
        </is>
      </c>
      <c r="E35" s="6" t="inlineStr">
        <is>
          <t>阳光人力 / 活动人力 × 100%</t>
        </is>
      </c>
      <c r="F35" s="5" t="inlineStr">
        <is>
          <t>%</t>
        </is>
      </c>
      <c r="G35" s="6" t="inlineStr">
        <is>
          <t>计算指标</t>
        </is>
      </c>
      <c r="H35" s="5" t="inlineStr">
        <is>
          <t>T+1</t>
        </is>
      </c>
      <c r="I35" s="11" t="n">
        <v>85.2</v>
      </c>
    </row>
    <row r="36" ht="24" customHeight="1">
      <c r="A36" s="8" t="n">
        <v>30</v>
      </c>
      <c r="B36" s="9" t="inlineStr">
        <is>
          <t>supervisor_active_rate</t>
        </is>
      </c>
      <c r="C36" s="9" t="inlineStr">
        <is>
          <t>主管活动率</t>
        </is>
      </c>
      <c r="D36" s="8" t="inlineStr">
        <is>
          <t>人力</t>
        </is>
      </c>
      <c r="E36" s="9" t="inlineStr">
        <is>
          <t>活动主管 / 在职主管 × 100%</t>
        </is>
      </c>
      <c r="F36" s="8" t="inlineStr">
        <is>
          <t>%</t>
        </is>
      </c>
      <c r="G36" s="9" t="inlineStr">
        <is>
          <t>计算指标</t>
        </is>
      </c>
      <c r="H36" s="8" t="inlineStr">
        <is>
          <t>T+1</t>
        </is>
      </c>
      <c r="I36" s="10" t="n">
        <v>71.3</v>
      </c>
    </row>
    <row r="37" ht="24" customHeight="1">
      <c r="A37" s="5" t="n">
        <v>31</v>
      </c>
      <c r="B37" s="6" t="inlineStr">
        <is>
          <t>supervisor_active_rate_yoy</t>
        </is>
      </c>
      <c r="C37" s="6" t="inlineStr">
        <is>
          <t>主管活动率同比变化</t>
        </is>
      </c>
      <c r="D37" s="5" t="inlineStr">
        <is>
          <t>人力</t>
        </is>
      </c>
      <c r="E37" s="6" t="inlineStr">
        <is>
          <t>当月主管活动率 - 去年同月主管活动率</t>
        </is>
      </c>
      <c r="F37" s="5" t="inlineStr">
        <is>
          <t>pp</t>
        </is>
      </c>
      <c r="G37" s="6" t="inlineStr">
        <is>
          <t>计算指标</t>
        </is>
      </c>
      <c r="H37" s="5" t="inlineStr">
        <is>
          <t>T+1</t>
        </is>
      </c>
      <c r="I37" s="11" t="n">
        <v>-1.1</v>
      </c>
    </row>
    <row r="38" ht="24" customHeight="1">
      <c r="A38" s="8" t="n">
        <v>32</v>
      </c>
      <c r="B38" s="9" t="inlineStr">
        <is>
          <t>supervisor_double_star_rate</t>
        </is>
      </c>
      <c r="C38" s="9" t="inlineStr">
        <is>
          <t>主管双星达成率</t>
        </is>
      </c>
      <c r="D38" s="8" t="inlineStr">
        <is>
          <t>人力</t>
        </is>
      </c>
      <c r="E38" s="9" t="inlineStr">
        <is>
          <t>达成双星标准的主管 / 在职主管 × 100%</t>
        </is>
      </c>
      <c r="F38" s="8" t="inlineStr">
        <is>
          <t>%</t>
        </is>
      </c>
      <c r="G38" s="9" t="inlineStr">
        <is>
          <t>计算指标</t>
        </is>
      </c>
      <c r="H38" s="8" t="inlineStr">
        <is>
          <t>T+1</t>
        </is>
      </c>
      <c r="I38" s="10" t="n">
        <v>37.3</v>
      </c>
    </row>
    <row r="39" ht="24" customHeight="1">
      <c r="A39" s="5" t="n">
        <v>33</v>
      </c>
      <c r="B39" s="6" t="inlineStr">
        <is>
          <t>supervisor_double_star_yoy</t>
        </is>
      </c>
      <c r="C39" s="6" t="inlineStr">
        <is>
          <t>主管双星率同比变化</t>
        </is>
      </c>
      <c r="D39" s="5" t="inlineStr">
        <is>
          <t>人力</t>
        </is>
      </c>
      <c r="E39" s="6" t="inlineStr">
        <is>
          <t>当月双星率 - 去年同月双星率</t>
        </is>
      </c>
      <c r="F39" s="5" t="inlineStr">
        <is>
          <t>pp</t>
        </is>
      </c>
      <c r="G39" s="6" t="inlineStr">
        <is>
          <t>计算指标</t>
        </is>
      </c>
      <c r="H39" s="5" t="inlineStr">
        <is>
          <t>T+1</t>
        </is>
      </c>
      <c r="I39" s="11" t="n">
        <v>-4.3</v>
      </c>
    </row>
    <row r="40" ht="24" customHeight="1">
      <c r="A40" s="8" t="n">
        <v>34</v>
      </c>
      <c r="B40" s="9" t="inlineStr">
        <is>
          <t>supervisor_total</t>
        </is>
      </c>
      <c r="C40" s="9" t="inlineStr">
        <is>
          <t>在职主管数</t>
        </is>
      </c>
      <c r="D40" s="8" t="inlineStr">
        <is>
          <t>人力</t>
        </is>
      </c>
      <c r="E40" s="9" t="inlineStr">
        <is>
          <t>当前在职的主管总人数</t>
        </is>
      </c>
      <c r="F40" s="8" t="inlineStr">
        <is>
          <t>人</t>
        </is>
      </c>
      <c r="G40" s="9" t="inlineStr">
        <is>
          <t>人力系统.supervisor_list</t>
        </is>
      </c>
      <c r="H40" s="8" t="inlineStr">
        <is>
          <t>T+1</t>
        </is>
      </c>
      <c r="I40" s="12" t="n">
        <v>3484</v>
      </c>
    </row>
    <row r="41" ht="24" customHeight="1">
      <c r="A41" s="5" t="n">
        <v>35</v>
      </c>
      <c r="B41" s="6" t="inlineStr">
        <is>
          <t>tongyin_bachelor_ratio</t>
        </is>
      </c>
      <c r="C41" s="6" t="inlineStr">
        <is>
          <t>同引本科及以上占比</t>
        </is>
      </c>
      <c r="D41" s="5" t="inlineStr">
        <is>
          <t>人力</t>
        </is>
      </c>
      <c r="E41" s="6" t="inlineStr">
        <is>
          <t>同引人员中本科及以上学历占比</t>
        </is>
      </c>
      <c r="F41" s="5" t="inlineStr">
        <is>
          <t>%</t>
        </is>
      </c>
      <c r="G41" s="6" t="inlineStr">
        <is>
          <t>人力系统.tongyin_education</t>
        </is>
      </c>
      <c r="H41" s="5" t="inlineStr">
        <is>
          <t>T+1</t>
        </is>
      </c>
      <c r="I41" s="11" t="n">
        <v>16.2</v>
      </c>
    </row>
    <row r="42" ht="24" customHeight="1">
      <c r="A42" s="8" t="n">
        <v>36</v>
      </c>
      <c r="B42" s="9" t="inlineStr">
        <is>
          <t>tongyin_college_ratio</t>
        </is>
      </c>
      <c r="C42" s="9" t="inlineStr">
        <is>
          <t>同引大专及以上占比</t>
        </is>
      </c>
      <c r="D42" s="8" t="inlineStr">
        <is>
          <t>人力</t>
        </is>
      </c>
      <c r="E42" s="9" t="inlineStr">
        <is>
          <t>同引人员中大专及以上学历占比</t>
        </is>
      </c>
      <c r="F42" s="8" t="inlineStr">
        <is>
          <t>%</t>
        </is>
      </c>
      <c r="G42" s="9" t="inlineStr">
        <is>
          <t>人力系统.tongyin_education</t>
        </is>
      </c>
      <c r="H42" s="8" t="inlineStr">
        <is>
          <t>T+1</t>
        </is>
      </c>
      <c r="I42" s="12" t="n">
        <v>41</v>
      </c>
    </row>
    <row r="43" ht="24" customHeight="1">
      <c r="A43" s="5" t="n">
        <v>37</v>
      </c>
      <c r="B43" s="6" t="inlineStr">
        <is>
          <t>tongyin_monthly_training</t>
        </is>
      </c>
      <c r="C43" s="6" t="inlineStr">
        <is>
          <t>同引月送训人数</t>
        </is>
      </c>
      <c r="D43" s="5" t="inlineStr">
        <is>
          <t>人力</t>
        </is>
      </c>
      <c r="E43" s="6" t="inlineStr">
        <is>
          <t>当月同业引进送训人数</t>
        </is>
      </c>
      <c r="F43" s="5" t="inlineStr">
        <is>
          <t>人</t>
        </is>
      </c>
      <c r="G43" s="6" t="inlineStr">
        <is>
          <t>培训系统.tongyin_training</t>
        </is>
      </c>
      <c r="H43" s="5" t="inlineStr">
        <is>
          <t>T+1</t>
        </is>
      </c>
      <c r="I43" s="7" t="n">
        <v>111</v>
      </c>
    </row>
    <row r="44" ht="24" customHeight="1">
      <c r="A44" s="8" t="n">
        <v>38</v>
      </c>
      <c r="B44" s="9" t="inlineStr">
        <is>
          <t>tongyin_onboard_yoy</t>
        </is>
      </c>
      <c r="C44" s="9" t="inlineStr">
        <is>
          <t>同引上岗同比增长率</t>
        </is>
      </c>
      <c r="D44" s="8" t="inlineStr">
        <is>
          <t>人力</t>
        </is>
      </c>
      <c r="E44" s="9" t="inlineStr">
        <is>
          <t>(当季同引上岗 - 去年同季同引上岗) / 去年同季同引上岗 × 100%</t>
        </is>
      </c>
      <c r="F44" s="8" t="inlineStr">
        <is>
          <t>%</t>
        </is>
      </c>
      <c r="G44" s="9" t="inlineStr">
        <is>
          <t>计算指标</t>
        </is>
      </c>
      <c r="H44" s="8" t="inlineStr">
        <is>
          <t>T+1</t>
        </is>
      </c>
      <c r="I44" s="10" t="n">
        <v>47.9</v>
      </c>
    </row>
    <row r="45" ht="24" customHeight="1">
      <c r="A45" s="5" t="n">
        <v>39</v>
      </c>
      <c r="B45" s="6" t="inlineStr">
        <is>
          <t>tongyin_quarter_onboard</t>
        </is>
      </c>
      <c r="C45" s="6" t="inlineStr">
        <is>
          <t>同引季度上岗人数</t>
        </is>
      </c>
      <c r="D45" s="5" t="inlineStr">
        <is>
          <t>人力</t>
        </is>
      </c>
      <c r="E45" s="6" t="inlineStr">
        <is>
          <t>当季度同引实际上岗人数</t>
        </is>
      </c>
      <c r="F45" s="5" t="inlineStr">
        <is>
          <t>人</t>
        </is>
      </c>
      <c r="G45" s="6" t="inlineStr">
        <is>
          <t>人力系统.tongyin_onboard</t>
        </is>
      </c>
      <c r="H45" s="5" t="inlineStr">
        <is>
          <t>T+1</t>
        </is>
      </c>
      <c r="I45" s="7" t="n">
        <v>105</v>
      </c>
    </row>
    <row r="46" ht="24" customHeight="1">
      <c r="A46" s="8" t="n">
        <v>40</v>
      </c>
      <c r="B46" s="9" t="inlineStr">
        <is>
          <t>tongyin_quarter_rate</t>
        </is>
      </c>
      <c r="C46" s="9" t="inlineStr">
        <is>
          <t>同引季度达成率</t>
        </is>
      </c>
      <c r="D46" s="8" t="inlineStr">
        <is>
          <t>人力</t>
        </is>
      </c>
      <c r="E46" s="9" t="inlineStr">
        <is>
          <t>同引季度上岗 / 同引季度目标 × 100%</t>
        </is>
      </c>
      <c r="F46" s="8" t="inlineStr">
        <is>
          <t>%</t>
        </is>
      </c>
      <c r="G46" s="9" t="inlineStr">
        <is>
          <t>计算指标</t>
        </is>
      </c>
      <c r="H46" s="8" t="inlineStr">
        <is>
          <t>T+1</t>
        </is>
      </c>
      <c r="I46" s="10" t="n">
        <v>38.2</v>
      </c>
    </row>
    <row r="47" ht="24" customHeight="1">
      <c r="A47" s="5" t="n">
        <v>41</v>
      </c>
      <c r="B47" s="6" t="inlineStr">
        <is>
          <t>tongyin_training_yoy</t>
        </is>
      </c>
      <c r="C47" s="6" t="inlineStr">
        <is>
          <t>同引送训同比增长率</t>
        </is>
      </c>
      <c r="D47" s="5" t="inlineStr">
        <is>
          <t>人力</t>
        </is>
      </c>
      <c r="E47" s="6" t="inlineStr">
        <is>
          <t>(当月同引送训 - 去年同月同引送训) / 去年同月同引送训 × 100%</t>
        </is>
      </c>
      <c r="F47" s="5" t="inlineStr">
        <is>
          <t>%</t>
        </is>
      </c>
      <c r="G47" s="6" t="inlineStr">
        <is>
          <t>计算指标</t>
        </is>
      </c>
      <c r="H47" s="5" t="inlineStr">
        <is>
          <t>T+1</t>
        </is>
      </c>
      <c r="I47" s="7" t="n">
        <v>-14</v>
      </c>
    </row>
    <row r="48" ht="24" customHeight="1">
      <c r="A48" s="8" t="n">
        <v>42</v>
      </c>
      <c r="B48" s="9" t="inlineStr">
        <is>
          <t>training_sent</t>
        </is>
      </c>
      <c r="C48" s="9" t="inlineStr">
        <is>
          <t>送训人数</t>
        </is>
      </c>
      <c r="D48" s="8" t="inlineStr">
        <is>
          <t>人力</t>
        </is>
      </c>
      <c r="E48" s="9" t="inlineStr">
        <is>
          <t>当月送入培训的新增人数</t>
        </is>
      </c>
      <c r="F48" s="8" t="inlineStr">
        <is>
          <t>人</t>
        </is>
      </c>
      <c r="G48" s="9" t="inlineStr">
        <is>
          <t>培训系统.training_enrollment</t>
        </is>
      </c>
      <c r="H48" s="8" t="inlineStr">
        <is>
          <t>T+1</t>
        </is>
      </c>
      <c r="I48" s="12" t="n">
        <v>1510</v>
      </c>
    </row>
  </sheetData>
  <autoFilter ref="A1:I48"/>
  <mergeCells count="3">
    <mergeCell ref="A10:I10"/>
    <mergeCell ref="A17:I1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分类</t>
        </is>
      </c>
      <c r="B1" s="1" t="inlineStr">
        <is>
          <t>指标数量</t>
        </is>
      </c>
      <c r="C1" s="1" t="inlineStr">
        <is>
          <t>数据源指标数</t>
        </is>
      </c>
    </row>
    <row r="2">
      <c r="A2" s="5" t="inlineStr">
        <is>
          <t>保费类</t>
        </is>
      </c>
      <c r="B2" s="5" t="n">
        <v>6</v>
      </c>
      <c r="C2" s="5" t="n">
        <v>2</v>
      </c>
    </row>
    <row r="3">
      <c r="A3" s="5" t="inlineStr">
        <is>
          <t>价值类</t>
        </is>
      </c>
      <c r="B3" s="5" t="n">
        <v>5</v>
      </c>
      <c r="C3" s="5" t="n">
        <v>1</v>
      </c>
    </row>
    <row r="4">
      <c r="A4" s="5" t="inlineStr">
        <is>
          <t>人力类</t>
        </is>
      </c>
      <c r="B4" s="5" t="n">
        <v>31</v>
      </c>
      <c r="C4" s="5" t="n">
        <v>13</v>
      </c>
    </row>
    <row r="5">
      <c r="A5" s="15" t="inlineStr">
        <is>
          <t>合计</t>
        </is>
      </c>
      <c r="B5" s="15">
        <f>SUM(B2:B4)</f>
        <v/>
      </c>
      <c r="C5" s="1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2026-07-08T09:52:48Z</dcterms:created>
  <dcterms:modified xmlns:dcterms="http://purl.org/dc/terms/" xmlns:xsi="http://www.w3.org/2001/XMLSchema-instance" xsi:type="dcterms:W3CDTF">2026-07-08T09:52:48Z</dcterms:modified>
</cp:coreProperties>
</file>